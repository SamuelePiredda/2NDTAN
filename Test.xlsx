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iral\Documents\Python\2NDTAN\"/>
    </mc:Choice>
  </mc:AlternateContent>
  <xr:revisionPtr revIDLastSave="0" documentId="13_ncr:1_{FA29E810-3B24-4674-BD28-0BA7CC7080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des" sheetId="1" r:id="rId1"/>
    <sheet name="sim" sheetId="2" r:id="rId2"/>
    <sheet name="power" sheetId="3" r:id="rId3"/>
    <sheet name="FV" sheetId="4" r:id="rId4"/>
    <sheet name="Carea" sheetId="5" r:id="rId5"/>
    <sheet name="Darea" sheetId="6" r:id="rId6"/>
    <sheet name="Attitude mission" sheetId="7" r:id="rId7"/>
    <sheet name="Power miss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5" l="1"/>
  <c r="M9" i="5"/>
  <c r="M8" i="5"/>
  <c r="M7" i="5"/>
  <c r="K5" i="5"/>
  <c r="C1" i="5"/>
  <c r="B12" i="3"/>
  <c r="B1" i="3"/>
  <c r="B16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<sst xmlns="http://schemas.openxmlformats.org/spreadsheetml/2006/main" count="203" uniqueCount="104">
  <si>
    <t>Node ID</t>
  </si>
  <si>
    <t>Node mass [kg]</t>
  </si>
  <si>
    <t>Node abs</t>
  </si>
  <si>
    <t>Node eps</t>
  </si>
  <si>
    <t>Node Cs [J/kg/K]</t>
  </si>
  <si>
    <t>Node area for sun [cm2]</t>
  </si>
  <si>
    <t>Internal power [W]</t>
  </si>
  <si>
    <t>X,Y,Z,I</t>
  </si>
  <si>
    <t>R,T,H,I</t>
  </si>
  <si>
    <t>Plot group</t>
  </si>
  <si>
    <t># Cells</t>
  </si>
  <si>
    <t>Battery Node</t>
  </si>
  <si>
    <t>X+</t>
  </si>
  <si>
    <t>X</t>
  </si>
  <si>
    <t>R</t>
  </si>
  <si>
    <t>X-</t>
  </si>
  <si>
    <t>-X</t>
  </si>
  <si>
    <t>-R</t>
  </si>
  <si>
    <t>Y+</t>
  </si>
  <si>
    <t>Y</t>
  </si>
  <si>
    <t>T</t>
  </si>
  <si>
    <t>Y-</t>
  </si>
  <si>
    <t>-Y</t>
  </si>
  <si>
    <t>-T</t>
  </si>
  <si>
    <t>Z+</t>
  </si>
  <si>
    <t>Z</t>
  </si>
  <si>
    <t>H</t>
  </si>
  <si>
    <t>Z-</t>
  </si>
  <si>
    <t>-Z</t>
  </si>
  <si>
    <t>-H</t>
  </si>
  <si>
    <t>X+ IN</t>
  </si>
  <si>
    <t>X- IN</t>
  </si>
  <si>
    <t>Y+ IN</t>
  </si>
  <si>
    <t>Y- IN</t>
  </si>
  <si>
    <t>Z+ IN</t>
  </si>
  <si>
    <t>Z- IN</t>
  </si>
  <si>
    <t>INT</t>
  </si>
  <si>
    <t>I</t>
  </si>
  <si>
    <t>Epoch</t>
  </si>
  <si>
    <t>date time</t>
  </si>
  <si>
    <t>Earth radius</t>
  </si>
  <si>
    <t>km</t>
  </si>
  <si>
    <t>Sun Flux</t>
  </si>
  <si>
    <t>W/m2</t>
  </si>
  <si>
    <t>albedo</t>
  </si>
  <si>
    <t>Earth flux</t>
  </si>
  <si>
    <t>altitude</t>
  </si>
  <si>
    <t>eccentricity</t>
  </si>
  <si>
    <t>Inclination</t>
  </si>
  <si>
    <t>deg</t>
  </si>
  <si>
    <t>LTAN</t>
  </si>
  <si>
    <t>hour</t>
  </si>
  <si>
    <t>RAAN</t>
  </si>
  <si>
    <t>AOP</t>
  </si>
  <si>
    <t>TA</t>
  </si>
  <si>
    <t>Num. Orbits</t>
  </si>
  <si>
    <t>Step size</t>
  </si>
  <si>
    <t>s</t>
  </si>
  <si>
    <t>Start Temp</t>
  </si>
  <si>
    <t>C</t>
  </si>
  <si>
    <t>Temp. Min</t>
  </si>
  <si>
    <t>-35</t>
  </si>
  <si>
    <t>Temp. Max</t>
  </si>
  <si>
    <t>Thermal sim</t>
  </si>
  <si>
    <t>0=no, 1=yes</t>
  </si>
  <si>
    <t>Power sim</t>
  </si>
  <si>
    <t>Battery Min.Temp</t>
  </si>
  <si>
    <t>Start attitude</t>
  </si>
  <si>
    <t>S=Sun, N=Nadir, R=Random, C=Custom, F=Fixed</t>
  </si>
  <si>
    <t>Random coeff</t>
  </si>
  <si>
    <t>if 10 random deg/s is between 0-10, if 1 random deg/s is between 0-1</t>
  </si>
  <si>
    <t>X custom</t>
  </si>
  <si>
    <t>deg/s</t>
  </si>
  <si>
    <t>Y custom</t>
  </si>
  <si>
    <t>Z custom</t>
  </si>
  <si>
    <t>X fixed</t>
  </si>
  <si>
    <t>Y fixed</t>
  </si>
  <si>
    <t>Z fixed</t>
  </si>
  <si>
    <t>Pointing node ID</t>
  </si>
  <si>
    <t>Solar cell area</t>
  </si>
  <si>
    <t>cm2</t>
  </si>
  <si>
    <t>Solar cell eff</t>
  </si>
  <si>
    <t>%</t>
  </si>
  <si>
    <t>EPS Charge eff</t>
  </si>
  <si>
    <t>EPS Discharge eff</t>
  </si>
  <si>
    <t>Solar array eff.</t>
  </si>
  <si>
    <t>Max Battery capacity</t>
  </si>
  <si>
    <t>Wh</t>
  </si>
  <si>
    <t>Starting battery capacity</t>
  </si>
  <si>
    <t>Heater power</t>
  </si>
  <si>
    <t>W</t>
  </si>
  <si>
    <t>Solar cell alpha coeff</t>
  </si>
  <si>
    <t>Solar cell eps coeff</t>
  </si>
  <si>
    <t>Battery max charge power</t>
  </si>
  <si>
    <t>Battery max discharge power</t>
  </si>
  <si>
    <t>mm2</t>
  </si>
  <si>
    <t>mm</t>
  </si>
  <si>
    <t>S</t>
  </si>
  <si>
    <t>Node thermical conduction k W/(m*K)</t>
  </si>
  <si>
    <t>Solar cell eff. Temperature</t>
  </si>
  <si>
    <t>W/K at 25°C</t>
  </si>
  <si>
    <t>Orbit</t>
  </si>
  <si>
    <t>X,Y,Z if F</t>
  </si>
  <si>
    <t>Power 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</si>
</sst>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0.000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quotePrefix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2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D19" sqref="D19"/>
    </sheetView>
  </sheetViews>
  <sheetFormatPr defaultRowHeight="14.4" x14ac:dyDescent="0.3"/>
  <cols>
    <col min="1" max="1" width="13.44140625" style="1" customWidth="1"/>
    <col min="2" max="2" width="14.88671875" customWidth="1"/>
    <col min="3" max="3" width="12.5546875" customWidth="1"/>
    <col min="4" max="4" width="13" customWidth="1"/>
    <col min="5" max="5" width="15" customWidth="1"/>
    <col min="6" max="6" width="18.21875" customWidth="1"/>
    <col min="7" max="7" width="18.5546875" customWidth="1"/>
    <col min="8" max="8" width="13.109375" customWidth="1"/>
    <col min="9" max="10" width="11.44140625" customWidth="1"/>
    <col min="11" max="12" width="12" customWidth="1"/>
    <col min="13" max="13" width="14" customWidth="1"/>
  </cols>
  <sheetData>
    <row r="1" spans="1:13" s="2" customFormat="1" ht="47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98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 s="4" t="s">
        <v>12</v>
      </c>
      <c r="B2" s="4">
        <v>0.1</v>
      </c>
      <c r="C2" s="4">
        <v>0.9</v>
      </c>
      <c r="D2" s="4">
        <v>0.9</v>
      </c>
      <c r="E2" s="4">
        <v>915</v>
      </c>
      <c r="F2" s="4">
        <v>237</v>
      </c>
      <c r="G2" s="4">
        <f t="shared" ref="G2:G5" si="0">10*30</f>
        <v>300</v>
      </c>
      <c r="H2" s="4">
        <v>0</v>
      </c>
      <c r="I2" s="4" t="s">
        <v>13</v>
      </c>
      <c r="J2" s="4" t="s">
        <v>14</v>
      </c>
      <c r="K2" s="4">
        <v>1</v>
      </c>
      <c r="L2" s="4">
        <v>6</v>
      </c>
      <c r="M2" s="5"/>
    </row>
    <row r="3" spans="1:13" x14ac:dyDescent="0.3">
      <c r="A3" s="4" t="s">
        <v>15</v>
      </c>
      <c r="B3" s="4">
        <v>0.1</v>
      </c>
      <c r="C3" s="4">
        <v>0.9</v>
      </c>
      <c r="D3" s="4">
        <v>0.9</v>
      </c>
      <c r="E3" s="4">
        <v>915</v>
      </c>
      <c r="F3" s="4">
        <v>237</v>
      </c>
      <c r="G3" s="4">
        <f t="shared" si="0"/>
        <v>300</v>
      </c>
      <c r="H3" s="4">
        <v>0</v>
      </c>
      <c r="I3" s="6" t="s">
        <v>16</v>
      </c>
      <c r="J3" s="6" t="s">
        <v>17</v>
      </c>
      <c r="K3" s="4">
        <v>1</v>
      </c>
      <c r="L3" s="4">
        <v>6</v>
      </c>
      <c r="M3" s="5"/>
    </row>
    <row r="4" spans="1:13" x14ac:dyDescent="0.3">
      <c r="A4" s="4" t="s">
        <v>18</v>
      </c>
      <c r="B4" s="4">
        <v>0.1</v>
      </c>
      <c r="C4" s="4">
        <v>0.9</v>
      </c>
      <c r="D4" s="4">
        <v>0.9</v>
      </c>
      <c r="E4" s="4">
        <v>915</v>
      </c>
      <c r="F4" s="4">
        <v>237</v>
      </c>
      <c r="G4" s="4">
        <f t="shared" si="0"/>
        <v>300</v>
      </c>
      <c r="H4" s="4">
        <v>0</v>
      </c>
      <c r="I4" s="4" t="s">
        <v>19</v>
      </c>
      <c r="J4" s="4" t="s">
        <v>20</v>
      </c>
      <c r="K4" s="4">
        <v>1</v>
      </c>
      <c r="L4" s="4">
        <v>6</v>
      </c>
      <c r="M4" s="5"/>
    </row>
    <row r="5" spans="1:13" x14ac:dyDescent="0.3">
      <c r="A5" s="4" t="s">
        <v>21</v>
      </c>
      <c r="B5" s="6">
        <v>0.1</v>
      </c>
      <c r="C5" s="4">
        <v>0.9</v>
      </c>
      <c r="D5" s="4">
        <v>0.9</v>
      </c>
      <c r="E5" s="4">
        <v>915</v>
      </c>
      <c r="F5" s="4">
        <v>237</v>
      </c>
      <c r="G5" s="4">
        <f t="shared" si="0"/>
        <v>300</v>
      </c>
      <c r="H5" s="4">
        <v>0</v>
      </c>
      <c r="I5" s="6" t="s">
        <v>22</v>
      </c>
      <c r="J5" s="6" t="s">
        <v>23</v>
      </c>
      <c r="K5" s="4">
        <v>1</v>
      </c>
      <c r="L5" s="4">
        <v>6</v>
      </c>
      <c r="M5" s="5"/>
    </row>
    <row r="6" spans="1:13" x14ac:dyDescent="0.3">
      <c r="A6" s="4" t="s">
        <v>24</v>
      </c>
      <c r="B6" s="4">
        <v>0.1</v>
      </c>
      <c r="C6" s="4">
        <v>0.9</v>
      </c>
      <c r="D6" s="4">
        <v>0.9</v>
      </c>
      <c r="E6" s="4">
        <v>915</v>
      </c>
      <c r="F6" s="4">
        <v>237</v>
      </c>
      <c r="G6" s="4">
        <f t="shared" ref="G6:G7" si="1">10*10</f>
        <v>100</v>
      </c>
      <c r="H6" s="4">
        <v>0</v>
      </c>
      <c r="I6" s="4" t="s">
        <v>25</v>
      </c>
      <c r="J6" s="4" t="s">
        <v>26</v>
      </c>
      <c r="K6" s="4">
        <v>1</v>
      </c>
      <c r="L6" s="4">
        <v>2</v>
      </c>
      <c r="M6" s="5"/>
    </row>
    <row r="7" spans="1:13" x14ac:dyDescent="0.3">
      <c r="A7" s="4" t="s">
        <v>27</v>
      </c>
      <c r="B7" s="4">
        <v>0.1</v>
      </c>
      <c r="C7" s="4">
        <v>0.9</v>
      </c>
      <c r="D7" s="4">
        <v>0.9</v>
      </c>
      <c r="E7" s="4">
        <v>915</v>
      </c>
      <c r="F7" s="4">
        <v>237</v>
      </c>
      <c r="G7" s="4">
        <f t="shared" si="1"/>
        <v>100</v>
      </c>
      <c r="H7" s="4">
        <v>0</v>
      </c>
      <c r="I7" s="6" t="s">
        <v>28</v>
      </c>
      <c r="J7" s="6" t="s">
        <v>29</v>
      </c>
      <c r="K7" s="4">
        <v>1</v>
      </c>
      <c r="L7" s="4">
        <v>2</v>
      </c>
      <c r="M7" s="5"/>
    </row>
    <row r="8" spans="1:13" x14ac:dyDescent="0.3">
      <c r="A8" s="4" t="s">
        <v>30</v>
      </c>
      <c r="B8" s="4">
        <v>0.1</v>
      </c>
      <c r="C8" s="4">
        <v>0.9</v>
      </c>
      <c r="D8" s="4">
        <v>0.9</v>
      </c>
      <c r="E8" s="4">
        <v>915</v>
      </c>
      <c r="F8" s="4">
        <v>237</v>
      </c>
      <c r="G8" s="4">
        <f t="shared" ref="G8:G11" si="2">10*30</f>
        <v>300</v>
      </c>
      <c r="H8" s="4">
        <v>0</v>
      </c>
      <c r="I8" s="4" t="s">
        <v>13</v>
      </c>
      <c r="J8" s="4" t="s">
        <v>14</v>
      </c>
      <c r="K8" s="4">
        <v>1</v>
      </c>
      <c r="L8" s="4"/>
      <c r="M8" s="5"/>
    </row>
    <row r="9" spans="1:13" x14ac:dyDescent="0.3">
      <c r="A9" s="4" t="s">
        <v>31</v>
      </c>
      <c r="B9" s="4">
        <v>0.1</v>
      </c>
      <c r="C9" s="4">
        <v>0.9</v>
      </c>
      <c r="D9" s="4">
        <v>0.9</v>
      </c>
      <c r="E9" s="4">
        <v>915</v>
      </c>
      <c r="F9" s="4">
        <v>237</v>
      </c>
      <c r="G9" s="4">
        <f t="shared" si="2"/>
        <v>300</v>
      </c>
      <c r="H9" s="4">
        <v>0</v>
      </c>
      <c r="I9" s="6" t="s">
        <v>16</v>
      </c>
      <c r="J9" s="4" t="s">
        <v>17</v>
      </c>
      <c r="K9" s="4">
        <v>1</v>
      </c>
      <c r="L9" s="4"/>
      <c r="M9" s="5"/>
    </row>
    <row r="10" spans="1:13" x14ac:dyDescent="0.3">
      <c r="A10" s="4" t="s">
        <v>32</v>
      </c>
      <c r="B10" s="4">
        <v>0.1</v>
      </c>
      <c r="C10" s="4">
        <v>0.9</v>
      </c>
      <c r="D10" s="4">
        <v>0.9</v>
      </c>
      <c r="E10" s="4">
        <v>915</v>
      </c>
      <c r="F10" s="4">
        <v>237</v>
      </c>
      <c r="G10" s="4">
        <f t="shared" si="2"/>
        <v>300</v>
      </c>
      <c r="H10" s="4">
        <v>0</v>
      </c>
      <c r="I10" s="4" t="s">
        <v>19</v>
      </c>
      <c r="J10" s="4" t="s">
        <v>20</v>
      </c>
      <c r="K10" s="4">
        <v>1</v>
      </c>
      <c r="L10" s="4"/>
      <c r="M10" s="5"/>
    </row>
    <row r="11" spans="1:13" x14ac:dyDescent="0.3">
      <c r="A11" s="4" t="s">
        <v>33</v>
      </c>
      <c r="B11" s="4">
        <v>0.1</v>
      </c>
      <c r="C11" s="4">
        <v>0.9</v>
      </c>
      <c r="D11" s="4">
        <v>0.9</v>
      </c>
      <c r="E11" s="4">
        <v>915</v>
      </c>
      <c r="F11" s="4">
        <v>237</v>
      </c>
      <c r="G11" s="4">
        <f t="shared" si="2"/>
        <v>300</v>
      </c>
      <c r="H11" s="4">
        <v>0</v>
      </c>
      <c r="I11" s="6" t="s">
        <v>22</v>
      </c>
      <c r="J11" s="4" t="s">
        <v>23</v>
      </c>
      <c r="K11" s="4">
        <v>1</v>
      </c>
      <c r="L11" s="4"/>
      <c r="M11" s="5"/>
    </row>
    <row r="12" spans="1:13" x14ac:dyDescent="0.3">
      <c r="A12" s="4" t="s">
        <v>34</v>
      </c>
      <c r="B12" s="4">
        <v>0.1</v>
      </c>
      <c r="C12" s="4">
        <v>0.9</v>
      </c>
      <c r="D12" s="4">
        <v>0.9</v>
      </c>
      <c r="E12" s="4">
        <v>915</v>
      </c>
      <c r="F12" s="4">
        <v>237</v>
      </c>
      <c r="G12" s="4">
        <f t="shared" ref="G12:G13" si="3">10*10</f>
        <v>100</v>
      </c>
      <c r="H12" s="4">
        <v>0</v>
      </c>
      <c r="I12" s="4" t="s">
        <v>25</v>
      </c>
      <c r="J12" s="4" t="s">
        <v>26</v>
      </c>
      <c r="K12" s="4">
        <v>1</v>
      </c>
      <c r="L12" s="4"/>
      <c r="M12" s="5"/>
    </row>
    <row r="13" spans="1:13" x14ac:dyDescent="0.3">
      <c r="A13" s="4" t="s">
        <v>35</v>
      </c>
      <c r="B13" s="4">
        <v>0.1</v>
      </c>
      <c r="C13" s="4">
        <v>0.9</v>
      </c>
      <c r="D13" s="4">
        <v>0.9</v>
      </c>
      <c r="E13" s="4">
        <v>915</v>
      </c>
      <c r="F13" s="4">
        <v>237</v>
      </c>
      <c r="G13" s="4">
        <f t="shared" si="3"/>
        <v>100</v>
      </c>
      <c r="H13" s="4">
        <v>0</v>
      </c>
      <c r="I13" s="6" t="s">
        <v>28</v>
      </c>
      <c r="J13" s="4" t="s">
        <v>29</v>
      </c>
      <c r="K13" s="4">
        <v>1</v>
      </c>
      <c r="L13" s="4"/>
      <c r="M13" s="5"/>
    </row>
    <row r="14" spans="1:13" x14ac:dyDescent="0.3">
      <c r="A14" s="4" t="s">
        <v>36</v>
      </c>
      <c r="B14" s="4">
        <v>2</v>
      </c>
      <c r="C14" s="4">
        <v>0.9</v>
      </c>
      <c r="D14" s="4">
        <v>0.9</v>
      </c>
      <c r="E14" s="4">
        <v>915</v>
      </c>
      <c r="F14" s="4">
        <v>237</v>
      </c>
      <c r="G14" s="4">
        <v>0</v>
      </c>
      <c r="H14" s="4">
        <v>6</v>
      </c>
      <c r="I14" s="4" t="s">
        <v>37</v>
      </c>
      <c r="J14" s="4" t="s">
        <v>37</v>
      </c>
      <c r="K14" s="4">
        <v>1</v>
      </c>
      <c r="L14" s="5"/>
      <c r="M14" s="5"/>
    </row>
    <row r="16" spans="1:13" x14ac:dyDescent="0.3">
      <c r="B16" s="1">
        <f>SUM(B2:B14)</f>
        <v>3.2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>
      <selection activeCell="B10" sqref="B10"/>
    </sheetView>
  </sheetViews>
  <sheetFormatPr defaultRowHeight="14.4" x14ac:dyDescent="0.3"/>
  <cols>
    <col min="1" max="1" width="18.33203125" style="7" customWidth="1"/>
    <col min="2" max="2" width="18.6640625" style="8" customWidth="1"/>
  </cols>
  <sheetData>
    <row r="1" spans="1:3" x14ac:dyDescent="0.3">
      <c r="A1" s="7" t="s">
        <v>38</v>
      </c>
      <c r="B1" s="9">
        <v>46101.5</v>
      </c>
      <c r="C1" t="s">
        <v>39</v>
      </c>
    </row>
    <row r="2" spans="1:3" x14ac:dyDescent="0.3">
      <c r="A2" s="7" t="s">
        <v>40</v>
      </c>
      <c r="B2" s="8">
        <v>6371</v>
      </c>
      <c r="C2" t="s">
        <v>41</v>
      </c>
    </row>
    <row r="3" spans="1:3" x14ac:dyDescent="0.3">
      <c r="A3" s="7" t="s">
        <v>42</v>
      </c>
      <c r="B3" s="8">
        <v>1367</v>
      </c>
      <c r="C3" t="s">
        <v>43</v>
      </c>
    </row>
    <row r="4" spans="1:3" x14ac:dyDescent="0.3">
      <c r="A4" s="7" t="s">
        <v>44</v>
      </c>
      <c r="B4" s="8">
        <v>0.3</v>
      </c>
    </row>
    <row r="5" spans="1:3" x14ac:dyDescent="0.3">
      <c r="A5" s="7" t="s">
        <v>45</v>
      </c>
      <c r="B5" s="8">
        <v>237</v>
      </c>
      <c r="C5" t="s">
        <v>43</v>
      </c>
    </row>
    <row r="6" spans="1:3" x14ac:dyDescent="0.3">
      <c r="A6" s="7" t="s">
        <v>46</v>
      </c>
      <c r="B6" s="8">
        <v>550</v>
      </c>
      <c r="C6" t="s">
        <v>41</v>
      </c>
    </row>
    <row r="7" spans="1:3" x14ac:dyDescent="0.3">
      <c r="A7" s="7" t="s">
        <v>47</v>
      </c>
      <c r="B7" s="8">
        <v>1E-3</v>
      </c>
    </row>
    <row r="8" spans="1:3" x14ac:dyDescent="0.3">
      <c r="A8" s="7" t="s">
        <v>48</v>
      </c>
      <c r="B8" s="8">
        <v>97</v>
      </c>
      <c r="C8" t="s">
        <v>49</v>
      </c>
    </row>
    <row r="9" spans="1:3" x14ac:dyDescent="0.3">
      <c r="A9" s="7" t="s">
        <v>50</v>
      </c>
      <c r="B9" s="8">
        <v>18</v>
      </c>
      <c r="C9" t="s">
        <v>51</v>
      </c>
    </row>
    <row r="10" spans="1:3" x14ac:dyDescent="0.3">
      <c r="A10" s="7" t="s">
        <v>52</v>
      </c>
      <c r="B10" s="8">
        <v>0</v>
      </c>
      <c r="C10" t="s">
        <v>49</v>
      </c>
    </row>
    <row r="11" spans="1:3" x14ac:dyDescent="0.3">
      <c r="A11" s="7" t="s">
        <v>53</v>
      </c>
      <c r="B11" s="8">
        <v>0</v>
      </c>
      <c r="C11" t="s">
        <v>49</v>
      </c>
    </row>
    <row r="12" spans="1:3" x14ac:dyDescent="0.3">
      <c r="A12" s="7" t="s">
        <v>54</v>
      </c>
      <c r="B12" s="8">
        <v>0</v>
      </c>
      <c r="C12" t="s">
        <v>49</v>
      </c>
    </row>
    <row r="13" spans="1:3" x14ac:dyDescent="0.3">
      <c r="A13" s="7" t="s">
        <v>55</v>
      </c>
      <c r="B13" s="8">
        <v>2</v>
      </c>
    </row>
    <row r="14" spans="1:3" x14ac:dyDescent="0.3">
      <c r="A14" s="7" t="s">
        <v>56</v>
      </c>
      <c r="B14" s="8">
        <v>60</v>
      </c>
      <c r="C14" t="s">
        <v>57</v>
      </c>
    </row>
    <row r="15" spans="1:3" x14ac:dyDescent="0.3">
      <c r="A15" s="7" t="s">
        <v>58</v>
      </c>
      <c r="B15" s="8">
        <v>25</v>
      </c>
      <c r="C15" t="s">
        <v>59</v>
      </c>
    </row>
    <row r="16" spans="1:3" x14ac:dyDescent="0.3">
      <c r="A16" s="7" t="s">
        <v>60</v>
      </c>
      <c r="B16" s="10" t="s">
        <v>61</v>
      </c>
      <c r="C16" t="s">
        <v>59</v>
      </c>
    </row>
    <row r="17" spans="1:3" x14ac:dyDescent="0.3">
      <c r="A17" s="7" t="s">
        <v>62</v>
      </c>
      <c r="B17" s="8">
        <v>80</v>
      </c>
      <c r="C17" t="s">
        <v>59</v>
      </c>
    </row>
    <row r="18" spans="1:3" x14ac:dyDescent="0.3">
      <c r="A18" s="7" t="s">
        <v>63</v>
      </c>
      <c r="B18" s="8">
        <v>1</v>
      </c>
      <c r="C18" t="s">
        <v>64</v>
      </c>
    </row>
    <row r="19" spans="1:3" x14ac:dyDescent="0.3">
      <c r="A19" s="7" t="s">
        <v>65</v>
      </c>
      <c r="B19" s="8">
        <v>1</v>
      </c>
      <c r="C19" t="s">
        <v>64</v>
      </c>
    </row>
    <row r="20" spans="1:3" x14ac:dyDescent="0.3">
      <c r="A20" s="7" t="s">
        <v>66</v>
      </c>
      <c r="B20" s="8">
        <v>0</v>
      </c>
      <c r="C20" t="s">
        <v>59</v>
      </c>
    </row>
    <row r="21" spans="1:3" x14ac:dyDescent="0.3">
      <c r="A21" s="7" t="s">
        <v>67</v>
      </c>
      <c r="B21" s="20" t="s">
        <v>97</v>
      </c>
      <c r="C21" t="s">
        <v>68</v>
      </c>
    </row>
    <row r="22" spans="1:3" x14ac:dyDescent="0.3">
      <c r="A22" s="7" t="s">
        <v>69</v>
      </c>
      <c r="B22" s="8">
        <v>10</v>
      </c>
      <c r="C22" t="s">
        <v>70</v>
      </c>
    </row>
    <row r="23" spans="1:3" x14ac:dyDescent="0.3">
      <c r="A23" s="7" t="s">
        <v>71</v>
      </c>
      <c r="B23" s="8">
        <v>3</v>
      </c>
      <c r="C23" t="s">
        <v>72</v>
      </c>
    </row>
    <row r="24" spans="1:3" x14ac:dyDescent="0.3">
      <c r="A24" s="7" t="s">
        <v>73</v>
      </c>
      <c r="B24" s="8">
        <v>5</v>
      </c>
      <c r="C24" t="s">
        <v>72</v>
      </c>
    </row>
    <row r="25" spans="1:3" x14ac:dyDescent="0.3">
      <c r="A25" s="7" t="s">
        <v>74</v>
      </c>
      <c r="B25" s="8">
        <v>5</v>
      </c>
      <c r="C25" t="s">
        <v>72</v>
      </c>
    </row>
    <row r="26" spans="1:3" x14ac:dyDescent="0.3">
      <c r="A26" s="7" t="s">
        <v>75</v>
      </c>
      <c r="B26" s="8">
        <v>1</v>
      </c>
    </row>
    <row r="27" spans="1:3" x14ac:dyDescent="0.3">
      <c r="A27" s="7" t="s">
        <v>76</v>
      </c>
      <c r="B27" s="8">
        <v>0</v>
      </c>
    </row>
    <row r="28" spans="1:3" x14ac:dyDescent="0.3">
      <c r="A28" s="7" t="s">
        <v>77</v>
      </c>
      <c r="B28" s="8">
        <v>0</v>
      </c>
    </row>
    <row r="29" spans="1:3" x14ac:dyDescent="0.3">
      <c r="A29" s="7" t="s">
        <v>78</v>
      </c>
      <c r="B29" s="8" t="s">
        <v>18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2" sqref="B2"/>
    </sheetView>
  </sheetViews>
  <sheetFormatPr defaultRowHeight="14.4" x14ac:dyDescent="0.3"/>
  <cols>
    <col min="1" max="1" width="27.44140625" style="7" customWidth="1"/>
    <col min="2" max="2" width="9.109375" style="1"/>
  </cols>
  <sheetData>
    <row r="1" spans="1:3" x14ac:dyDescent="0.3">
      <c r="A1" s="7" t="s">
        <v>79</v>
      </c>
      <c r="B1" s="1">
        <f>8*4</f>
        <v>32</v>
      </c>
      <c r="C1" t="s">
        <v>80</v>
      </c>
    </row>
    <row r="2" spans="1:3" x14ac:dyDescent="0.3">
      <c r="A2" s="7" t="s">
        <v>81</v>
      </c>
      <c r="B2" s="1">
        <v>0.3</v>
      </c>
      <c r="C2" t="s">
        <v>82</v>
      </c>
    </row>
    <row r="3" spans="1:3" x14ac:dyDescent="0.3">
      <c r="A3" s="7" t="s">
        <v>99</v>
      </c>
      <c r="B3" s="1">
        <v>-1.5E-3</v>
      </c>
      <c r="C3" t="s">
        <v>100</v>
      </c>
    </row>
    <row r="4" spans="1:3" x14ac:dyDescent="0.3">
      <c r="A4" s="7" t="s">
        <v>83</v>
      </c>
      <c r="B4" s="1">
        <v>0.9</v>
      </c>
      <c r="C4" t="s">
        <v>82</v>
      </c>
    </row>
    <row r="5" spans="1:3" x14ac:dyDescent="0.3">
      <c r="A5" s="7" t="s">
        <v>84</v>
      </c>
      <c r="B5" s="1">
        <v>0.9</v>
      </c>
      <c r="C5" t="s">
        <v>82</v>
      </c>
    </row>
    <row r="6" spans="1:3" x14ac:dyDescent="0.3">
      <c r="A6" s="7" t="s">
        <v>85</v>
      </c>
      <c r="B6" s="1">
        <v>0.9</v>
      </c>
      <c r="C6" t="s">
        <v>82</v>
      </c>
    </row>
    <row r="7" spans="1:3" x14ac:dyDescent="0.3">
      <c r="A7" s="7" t="s">
        <v>86</v>
      </c>
      <c r="B7" s="1">
        <v>90</v>
      </c>
      <c r="C7" t="s">
        <v>87</v>
      </c>
    </row>
    <row r="8" spans="1:3" x14ac:dyDescent="0.3">
      <c r="A8" s="7" t="s">
        <v>88</v>
      </c>
      <c r="B8" s="1">
        <v>90</v>
      </c>
      <c r="C8" t="s">
        <v>87</v>
      </c>
    </row>
    <row r="9" spans="1:3" x14ac:dyDescent="0.3">
      <c r="A9" s="7" t="s">
        <v>89</v>
      </c>
      <c r="B9" s="1">
        <v>5</v>
      </c>
      <c r="C9" t="s">
        <v>90</v>
      </c>
    </row>
    <row r="10" spans="1:3" x14ac:dyDescent="0.3">
      <c r="A10" s="7" t="s">
        <v>91</v>
      </c>
      <c r="B10" s="1">
        <v>0.9</v>
      </c>
    </row>
    <row r="11" spans="1:3" x14ac:dyDescent="0.3">
      <c r="A11" s="7" t="s">
        <v>92</v>
      </c>
      <c r="B11" s="1">
        <v>0.9</v>
      </c>
    </row>
    <row r="12" spans="1:3" x14ac:dyDescent="0.3">
      <c r="A12" s="7" t="s">
        <v>93</v>
      </c>
      <c r="B12" s="1">
        <f>13*6.66</f>
        <v>86.58</v>
      </c>
      <c r="C12" t="s">
        <v>90</v>
      </c>
    </row>
    <row r="13" spans="1:3" x14ac:dyDescent="0.3">
      <c r="A13" s="7" t="s">
        <v>94</v>
      </c>
      <c r="B13" s="1">
        <v>100</v>
      </c>
      <c r="C13" t="s">
        <v>90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4" x14ac:dyDescent="0.3"/>
  <cols>
    <col min="1" max="13" width="9.109375" style="1"/>
  </cols>
  <sheetData>
    <row r="1" spans="1:15" x14ac:dyDescent="0.3">
      <c r="A1" s="4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O1" s="1" t="s">
        <v>12</v>
      </c>
    </row>
    <row r="2" spans="1:15" x14ac:dyDescent="0.3">
      <c r="A2" s="11"/>
      <c r="B2" s="4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O2" s="1" t="s">
        <v>15</v>
      </c>
    </row>
    <row r="3" spans="1:15" x14ac:dyDescent="0.3">
      <c r="A3" s="11"/>
      <c r="B3" s="11"/>
      <c r="C3" s="4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O3" s="1" t="s">
        <v>18</v>
      </c>
    </row>
    <row r="4" spans="1:15" x14ac:dyDescent="0.3">
      <c r="A4" s="11"/>
      <c r="B4" s="11"/>
      <c r="C4" s="11"/>
      <c r="D4" s="4">
        <v>0</v>
      </c>
      <c r="E4" s="4"/>
      <c r="F4" s="4"/>
      <c r="G4" s="4"/>
      <c r="H4" s="4"/>
      <c r="I4" s="4"/>
      <c r="J4" s="4"/>
      <c r="K4" s="4"/>
      <c r="L4" s="4"/>
      <c r="M4" s="4"/>
      <c r="O4" s="1" t="s">
        <v>21</v>
      </c>
    </row>
    <row r="5" spans="1:15" x14ac:dyDescent="0.3">
      <c r="A5" s="11"/>
      <c r="B5" s="11"/>
      <c r="C5" s="11"/>
      <c r="D5" s="11"/>
      <c r="E5" s="4">
        <v>0</v>
      </c>
      <c r="F5" s="4"/>
      <c r="G5" s="4"/>
      <c r="H5" s="4"/>
      <c r="I5" s="4"/>
      <c r="J5" s="4"/>
      <c r="K5" s="4"/>
      <c r="L5" s="4"/>
      <c r="M5" s="4"/>
      <c r="O5" s="1" t="s">
        <v>24</v>
      </c>
    </row>
    <row r="6" spans="1:15" x14ac:dyDescent="0.3">
      <c r="A6" s="11"/>
      <c r="B6" s="11"/>
      <c r="C6" s="11"/>
      <c r="D6" s="11"/>
      <c r="E6" s="11"/>
      <c r="F6" s="4">
        <v>0</v>
      </c>
      <c r="G6" s="4"/>
      <c r="H6" s="4"/>
      <c r="I6" s="4"/>
      <c r="J6" s="4"/>
      <c r="K6" s="4"/>
      <c r="L6" s="4"/>
      <c r="M6" s="4"/>
      <c r="O6" s="1" t="s">
        <v>27</v>
      </c>
    </row>
    <row r="7" spans="1:15" x14ac:dyDescent="0.3">
      <c r="A7" s="11"/>
      <c r="B7" s="11"/>
      <c r="C7" s="11"/>
      <c r="D7" s="11"/>
      <c r="E7" s="11"/>
      <c r="F7" s="11"/>
      <c r="G7" s="4">
        <v>0</v>
      </c>
      <c r="H7" s="4"/>
      <c r="I7" s="4"/>
      <c r="J7" s="4"/>
      <c r="K7" s="4"/>
      <c r="L7" s="4"/>
      <c r="M7" s="12">
        <v>0.21428571428571427</v>
      </c>
      <c r="O7" s="1" t="s">
        <v>30</v>
      </c>
    </row>
    <row r="8" spans="1:15" x14ac:dyDescent="0.3">
      <c r="A8" s="11"/>
      <c r="B8" s="11"/>
      <c r="C8" s="11"/>
      <c r="D8" s="11"/>
      <c r="E8" s="11"/>
      <c r="F8" s="11"/>
      <c r="G8" s="11"/>
      <c r="H8" s="4">
        <v>0</v>
      </c>
      <c r="I8" s="4"/>
      <c r="J8" s="4"/>
      <c r="K8" s="4"/>
      <c r="L8" s="4"/>
      <c r="M8" s="12">
        <v>0.21428571428571427</v>
      </c>
      <c r="O8" s="1" t="s">
        <v>31</v>
      </c>
    </row>
    <row r="9" spans="1:15" x14ac:dyDescent="0.3">
      <c r="A9" s="11"/>
      <c r="B9" s="11"/>
      <c r="C9" s="11"/>
      <c r="D9" s="11"/>
      <c r="E9" s="11"/>
      <c r="F9" s="11"/>
      <c r="G9" s="11"/>
      <c r="H9" s="11"/>
      <c r="I9" s="4">
        <v>0</v>
      </c>
      <c r="J9" s="4"/>
      <c r="K9" s="4"/>
      <c r="L9" s="4"/>
      <c r="M9" s="12">
        <v>0.21428571428571427</v>
      </c>
      <c r="O9" s="1" t="s">
        <v>32</v>
      </c>
    </row>
    <row r="10" spans="1:15" x14ac:dyDescent="0.3">
      <c r="A10" s="11"/>
      <c r="B10" s="11"/>
      <c r="C10" s="11"/>
      <c r="D10" s="11"/>
      <c r="E10" s="11"/>
      <c r="F10" s="11"/>
      <c r="G10" s="11"/>
      <c r="H10" s="11"/>
      <c r="I10" s="11"/>
      <c r="J10" s="4">
        <v>0</v>
      </c>
      <c r="K10" s="4"/>
      <c r="L10" s="4"/>
      <c r="M10" s="12">
        <v>0.21428571428571427</v>
      </c>
      <c r="O10" s="1" t="s">
        <v>33</v>
      </c>
    </row>
    <row r="11" spans="1:15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4">
        <v>0</v>
      </c>
      <c r="L11" s="4"/>
      <c r="M11" s="12">
        <v>7.1428571428571425E-2</v>
      </c>
      <c r="O11" s="1" t="s">
        <v>34</v>
      </c>
    </row>
    <row r="12" spans="1:15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4">
        <v>0</v>
      </c>
      <c r="M12" s="12">
        <v>7.1428571428571425E-2</v>
      </c>
      <c r="O12" s="1" t="s">
        <v>35</v>
      </c>
    </row>
    <row r="13" spans="1:15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4">
        <v>0</v>
      </c>
      <c r="O13" s="1" t="s">
        <v>36</v>
      </c>
    </row>
    <row r="15" spans="1:15" x14ac:dyDescent="0.3">
      <c r="A15" s="1">
        <v>1</v>
      </c>
      <c r="B15" s="1">
        <v>2</v>
      </c>
      <c r="C15" s="1">
        <v>3</v>
      </c>
      <c r="D15" s="1">
        <v>4</v>
      </c>
      <c r="E15" s="1">
        <v>5</v>
      </c>
      <c r="F15" s="1">
        <v>6</v>
      </c>
      <c r="G15" s="1">
        <v>7</v>
      </c>
      <c r="H15" s="1">
        <v>8</v>
      </c>
      <c r="I15" s="1">
        <v>9</v>
      </c>
      <c r="J15" s="1">
        <v>10</v>
      </c>
      <c r="K15" s="1">
        <v>11</v>
      </c>
      <c r="L15" s="1">
        <v>12</v>
      </c>
      <c r="M15" s="1">
        <v>13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workbookViewId="0"/>
  </sheetViews>
  <sheetFormatPr defaultRowHeight="14.4" x14ac:dyDescent="0.3"/>
  <cols>
    <col min="1" max="13" width="9.109375" customWidth="1"/>
  </cols>
  <sheetData>
    <row r="1" spans="1:14" x14ac:dyDescent="0.3">
      <c r="A1" s="4">
        <v>0</v>
      </c>
      <c r="B1" s="4"/>
      <c r="C1" s="4">
        <f>300*1</f>
        <v>300</v>
      </c>
      <c r="D1" s="4">
        <v>300</v>
      </c>
      <c r="E1" s="4">
        <v>50</v>
      </c>
      <c r="F1" s="4">
        <v>50</v>
      </c>
      <c r="G1" s="4">
        <v>30000</v>
      </c>
      <c r="H1" s="4"/>
      <c r="I1" s="4"/>
      <c r="J1" s="4"/>
      <c r="K1" s="4">
        <v>50</v>
      </c>
      <c r="L1" s="4">
        <v>50</v>
      </c>
      <c r="M1" s="4"/>
      <c r="N1" s="1" t="s">
        <v>12</v>
      </c>
    </row>
    <row r="2" spans="1:14" x14ac:dyDescent="0.3">
      <c r="A2" s="11"/>
      <c r="B2" s="4">
        <v>0</v>
      </c>
      <c r="C2" s="4">
        <v>300</v>
      </c>
      <c r="D2" s="4">
        <v>300</v>
      </c>
      <c r="E2" s="4">
        <v>50</v>
      </c>
      <c r="F2" s="4">
        <v>50</v>
      </c>
      <c r="G2" s="4"/>
      <c r="H2" s="4">
        <v>30000</v>
      </c>
      <c r="I2" s="4"/>
      <c r="J2" s="4"/>
      <c r="K2" s="4">
        <v>50</v>
      </c>
      <c r="L2" s="4">
        <v>50</v>
      </c>
      <c r="M2" s="4"/>
      <c r="N2" s="1" t="s">
        <v>15</v>
      </c>
    </row>
    <row r="3" spans="1:14" x14ac:dyDescent="0.3">
      <c r="A3" s="11"/>
      <c r="B3" s="11"/>
      <c r="C3" s="4">
        <v>0</v>
      </c>
      <c r="D3" s="4"/>
      <c r="E3" s="4">
        <v>50</v>
      </c>
      <c r="F3" s="4">
        <v>50</v>
      </c>
      <c r="G3" s="4"/>
      <c r="H3" s="4"/>
      <c r="I3" s="4">
        <v>30000</v>
      </c>
      <c r="J3" s="4"/>
      <c r="K3" s="4">
        <v>50</v>
      </c>
      <c r="L3" s="4">
        <v>50</v>
      </c>
      <c r="M3" s="4"/>
      <c r="N3" s="1" t="s">
        <v>18</v>
      </c>
    </row>
    <row r="4" spans="1:14" x14ac:dyDescent="0.3">
      <c r="A4" s="11"/>
      <c r="B4" s="11"/>
      <c r="C4" s="11"/>
      <c r="D4" s="4">
        <v>0</v>
      </c>
      <c r="E4" s="4">
        <v>50</v>
      </c>
      <c r="F4" s="4">
        <v>50</v>
      </c>
      <c r="G4" s="4"/>
      <c r="H4" s="4"/>
      <c r="I4" s="4"/>
      <c r="J4" s="4">
        <v>30000</v>
      </c>
      <c r="K4" s="4">
        <v>50</v>
      </c>
      <c r="L4" s="4">
        <v>50</v>
      </c>
      <c r="M4" s="4"/>
      <c r="N4" s="1" t="s">
        <v>21</v>
      </c>
    </row>
    <row r="5" spans="1:14" x14ac:dyDescent="0.3">
      <c r="A5" s="11"/>
      <c r="B5" s="11"/>
      <c r="C5" s="11"/>
      <c r="D5" s="11"/>
      <c r="E5" s="4">
        <v>0</v>
      </c>
      <c r="F5" s="4"/>
      <c r="G5" s="4"/>
      <c r="H5" s="4"/>
      <c r="I5" s="4"/>
      <c r="J5" s="4"/>
      <c r="K5" s="4">
        <f>100*100</f>
        <v>10000</v>
      </c>
      <c r="L5" s="4"/>
      <c r="M5" s="4"/>
      <c r="N5" s="1" t="s">
        <v>24</v>
      </c>
    </row>
    <row r="6" spans="1:14" x14ac:dyDescent="0.3">
      <c r="A6" s="11"/>
      <c r="B6" s="11"/>
      <c r="C6" s="11"/>
      <c r="D6" s="11"/>
      <c r="E6" s="11"/>
      <c r="F6" s="4">
        <v>0</v>
      </c>
      <c r="G6" s="4"/>
      <c r="H6" s="4"/>
      <c r="I6" s="4"/>
      <c r="J6" s="4"/>
      <c r="K6" s="4"/>
      <c r="L6" s="4">
        <v>10000</v>
      </c>
      <c r="M6" s="4"/>
      <c r="N6" s="1" t="s">
        <v>27</v>
      </c>
    </row>
    <row r="7" spans="1:14" x14ac:dyDescent="0.3">
      <c r="A7" s="11"/>
      <c r="B7" s="11"/>
      <c r="C7" s="11"/>
      <c r="D7" s="11"/>
      <c r="E7" s="11"/>
      <c r="F7" s="11"/>
      <c r="G7" s="4">
        <v>0</v>
      </c>
      <c r="H7" s="4"/>
      <c r="I7" s="4"/>
      <c r="J7" s="4"/>
      <c r="K7" s="4"/>
      <c r="L7" s="4"/>
      <c r="M7" s="4">
        <f t="shared" ref="M7:M10" si="0">100*1</f>
        <v>100</v>
      </c>
      <c r="N7" s="1" t="s">
        <v>30</v>
      </c>
    </row>
    <row r="8" spans="1:14" x14ac:dyDescent="0.3">
      <c r="A8" s="11"/>
      <c r="B8" s="11"/>
      <c r="C8" s="11"/>
      <c r="D8" s="11"/>
      <c r="E8" s="11"/>
      <c r="F8" s="11"/>
      <c r="G8" s="11"/>
      <c r="H8" s="4">
        <v>0</v>
      </c>
      <c r="I8" s="4"/>
      <c r="J8" s="4"/>
      <c r="K8" s="4"/>
      <c r="L8" s="4"/>
      <c r="M8" s="4">
        <f t="shared" si="0"/>
        <v>100</v>
      </c>
      <c r="N8" s="1" t="s">
        <v>31</v>
      </c>
    </row>
    <row r="9" spans="1:14" x14ac:dyDescent="0.3">
      <c r="A9" s="11"/>
      <c r="B9" s="11"/>
      <c r="C9" s="11"/>
      <c r="D9" s="11"/>
      <c r="E9" s="11"/>
      <c r="F9" s="11"/>
      <c r="G9" s="11"/>
      <c r="H9" s="11"/>
      <c r="I9" s="4">
        <v>0</v>
      </c>
      <c r="J9" s="4"/>
      <c r="K9" s="4"/>
      <c r="L9" s="4"/>
      <c r="M9" s="4">
        <f t="shared" si="0"/>
        <v>100</v>
      </c>
      <c r="N9" s="1" t="s">
        <v>32</v>
      </c>
    </row>
    <row r="10" spans="1:14" x14ac:dyDescent="0.3">
      <c r="A10" s="11"/>
      <c r="B10" s="11"/>
      <c r="C10" s="11"/>
      <c r="D10" s="11"/>
      <c r="E10" s="11"/>
      <c r="F10" s="11"/>
      <c r="G10" s="11"/>
      <c r="H10" s="11"/>
      <c r="I10" s="11"/>
      <c r="J10" s="4">
        <v>0</v>
      </c>
      <c r="K10" s="4"/>
      <c r="L10" s="4"/>
      <c r="M10" s="4">
        <f t="shared" si="0"/>
        <v>100</v>
      </c>
      <c r="N10" s="1" t="s">
        <v>33</v>
      </c>
    </row>
    <row r="11" spans="1:14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4">
        <v>0</v>
      </c>
      <c r="L11" s="4"/>
      <c r="M11" s="4"/>
      <c r="N11" s="1" t="s">
        <v>34</v>
      </c>
    </row>
    <row r="12" spans="1:14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4">
        <v>0</v>
      </c>
      <c r="M12" s="4"/>
      <c r="N12" s="1" t="s">
        <v>35</v>
      </c>
    </row>
    <row r="13" spans="1:14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4">
        <v>0</v>
      </c>
      <c r="N13" s="1" t="s">
        <v>36</v>
      </c>
    </row>
    <row r="15" spans="1:14" x14ac:dyDescent="0.3">
      <c r="A15" s="1" t="s">
        <v>12</v>
      </c>
      <c r="B15" s="1" t="s">
        <v>15</v>
      </c>
      <c r="C15" s="1" t="s">
        <v>18</v>
      </c>
      <c r="D15" s="1" t="s">
        <v>21</v>
      </c>
      <c r="E15" s="1" t="s">
        <v>24</v>
      </c>
      <c r="F15" s="1" t="s">
        <v>27</v>
      </c>
      <c r="G15" s="1" t="s">
        <v>30</v>
      </c>
      <c r="H15" s="1" t="s">
        <v>31</v>
      </c>
      <c r="I15" s="1" t="s">
        <v>32</v>
      </c>
      <c r="J15" s="1" t="s">
        <v>33</v>
      </c>
      <c r="K15" s="1" t="s">
        <v>34</v>
      </c>
      <c r="L15" s="1" t="s">
        <v>35</v>
      </c>
      <c r="M15" s="1" t="s">
        <v>36</v>
      </c>
      <c r="N15" t="s">
        <v>95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/>
  </sheetViews>
  <sheetFormatPr defaultRowHeight="14.4" x14ac:dyDescent="0.3"/>
  <cols>
    <col min="1" max="13" width="9.109375" customWidth="1"/>
  </cols>
  <sheetData>
    <row r="1" spans="1:14" x14ac:dyDescent="0.3">
      <c r="A1" s="4">
        <v>0</v>
      </c>
      <c r="B1" s="4"/>
      <c r="C1" s="13">
        <v>50</v>
      </c>
      <c r="D1" s="13">
        <v>50</v>
      </c>
      <c r="E1" s="13">
        <v>150</v>
      </c>
      <c r="F1" s="13">
        <v>150</v>
      </c>
      <c r="G1" s="13">
        <v>0.5</v>
      </c>
      <c r="H1" s="4"/>
      <c r="I1" s="4"/>
      <c r="J1" s="4"/>
      <c r="K1" s="13">
        <v>150</v>
      </c>
      <c r="L1" s="13">
        <v>150</v>
      </c>
      <c r="M1" s="4"/>
      <c r="N1" s="1" t="s">
        <v>12</v>
      </c>
    </row>
    <row r="2" spans="1:14" x14ac:dyDescent="0.3">
      <c r="A2" s="4"/>
      <c r="B2" s="4">
        <v>0</v>
      </c>
      <c r="C2" s="13">
        <v>50</v>
      </c>
      <c r="D2" s="13">
        <v>50</v>
      </c>
      <c r="E2" s="13">
        <v>150</v>
      </c>
      <c r="F2" s="13">
        <v>150</v>
      </c>
      <c r="G2" s="4"/>
      <c r="H2" s="13">
        <v>0.5</v>
      </c>
      <c r="I2" s="4"/>
      <c r="J2" s="4"/>
      <c r="K2" s="13">
        <v>150</v>
      </c>
      <c r="L2" s="13">
        <v>150</v>
      </c>
      <c r="M2" s="4"/>
      <c r="N2" s="1" t="s">
        <v>15</v>
      </c>
    </row>
    <row r="3" spans="1:14" x14ac:dyDescent="0.3">
      <c r="A3" s="13">
        <v>50</v>
      </c>
      <c r="B3" s="13">
        <v>50</v>
      </c>
      <c r="C3" s="4">
        <v>0</v>
      </c>
      <c r="D3" s="4"/>
      <c r="E3" s="13">
        <v>150</v>
      </c>
      <c r="F3" s="13">
        <v>150</v>
      </c>
      <c r="G3" s="4"/>
      <c r="H3" s="4"/>
      <c r="I3" s="13">
        <v>0.5</v>
      </c>
      <c r="J3" s="4"/>
      <c r="K3" s="13">
        <v>150</v>
      </c>
      <c r="L3" s="13">
        <v>150</v>
      </c>
      <c r="M3" s="4"/>
      <c r="N3" s="1" t="s">
        <v>18</v>
      </c>
    </row>
    <row r="4" spans="1:14" x14ac:dyDescent="0.3">
      <c r="A4" s="13">
        <v>50</v>
      </c>
      <c r="B4" s="13">
        <v>50</v>
      </c>
      <c r="C4" s="4"/>
      <c r="D4" s="4">
        <v>0</v>
      </c>
      <c r="E4" s="13">
        <v>150</v>
      </c>
      <c r="F4" s="13">
        <v>150</v>
      </c>
      <c r="G4" s="4"/>
      <c r="H4" s="4"/>
      <c r="I4" s="4"/>
      <c r="J4" s="13">
        <v>0.5</v>
      </c>
      <c r="K4" s="13">
        <v>150</v>
      </c>
      <c r="L4" s="13">
        <v>150</v>
      </c>
      <c r="M4" s="4"/>
      <c r="N4" s="1" t="s">
        <v>21</v>
      </c>
    </row>
    <row r="5" spans="1:14" x14ac:dyDescent="0.3">
      <c r="A5" s="13">
        <v>50</v>
      </c>
      <c r="B5" s="13">
        <v>50</v>
      </c>
      <c r="C5" s="13">
        <v>50</v>
      </c>
      <c r="D5" s="13">
        <v>50</v>
      </c>
      <c r="E5" s="4">
        <v>0</v>
      </c>
      <c r="F5" s="4"/>
      <c r="G5" s="4"/>
      <c r="H5" s="4"/>
      <c r="I5" s="4"/>
      <c r="J5" s="4"/>
      <c r="K5" s="13">
        <v>0.5</v>
      </c>
      <c r="L5" s="4"/>
      <c r="M5" s="4"/>
      <c r="N5" s="1" t="s">
        <v>24</v>
      </c>
    </row>
    <row r="6" spans="1:14" x14ac:dyDescent="0.3">
      <c r="A6" s="13">
        <v>50</v>
      </c>
      <c r="B6" s="13">
        <v>50</v>
      </c>
      <c r="C6" s="13">
        <v>50</v>
      </c>
      <c r="D6" s="13">
        <v>50</v>
      </c>
      <c r="E6" s="4"/>
      <c r="F6" s="4">
        <v>0</v>
      </c>
      <c r="G6" s="4"/>
      <c r="H6" s="4"/>
      <c r="I6" s="4"/>
      <c r="J6" s="4"/>
      <c r="K6" s="4"/>
      <c r="L6" s="13">
        <v>0.5</v>
      </c>
      <c r="M6" s="4"/>
      <c r="N6" s="1" t="s">
        <v>27</v>
      </c>
    </row>
    <row r="7" spans="1:14" x14ac:dyDescent="0.3">
      <c r="A7" s="13">
        <v>0.5</v>
      </c>
      <c r="B7" s="4"/>
      <c r="C7" s="4"/>
      <c r="D7" s="4"/>
      <c r="E7" s="4"/>
      <c r="F7" s="4"/>
      <c r="G7" s="4">
        <v>0</v>
      </c>
      <c r="H7" s="4"/>
      <c r="I7" s="4"/>
      <c r="J7" s="4"/>
      <c r="K7" s="4"/>
      <c r="L7" s="4"/>
      <c r="M7" s="13">
        <v>0.5</v>
      </c>
      <c r="N7" s="1" t="s">
        <v>30</v>
      </c>
    </row>
    <row r="8" spans="1:14" x14ac:dyDescent="0.3">
      <c r="A8" s="4"/>
      <c r="B8" s="13">
        <v>0.5</v>
      </c>
      <c r="C8" s="4"/>
      <c r="D8" s="4"/>
      <c r="E8" s="4"/>
      <c r="F8" s="4"/>
      <c r="G8" s="4"/>
      <c r="H8" s="4">
        <v>0</v>
      </c>
      <c r="I8" s="4"/>
      <c r="J8" s="4"/>
      <c r="K8" s="4"/>
      <c r="L8" s="4"/>
      <c r="M8" s="13">
        <v>0.5</v>
      </c>
      <c r="N8" s="1" t="s">
        <v>31</v>
      </c>
    </row>
    <row r="9" spans="1:14" x14ac:dyDescent="0.3">
      <c r="A9" s="4"/>
      <c r="B9" s="4"/>
      <c r="C9" s="13">
        <v>0.5</v>
      </c>
      <c r="D9" s="4"/>
      <c r="E9" s="4"/>
      <c r="F9" s="4"/>
      <c r="G9" s="4"/>
      <c r="H9" s="4"/>
      <c r="I9" s="4">
        <v>0</v>
      </c>
      <c r="J9" s="4"/>
      <c r="K9" s="4"/>
      <c r="L9" s="4"/>
      <c r="M9" s="13">
        <v>0.5</v>
      </c>
      <c r="N9" s="1" t="s">
        <v>32</v>
      </c>
    </row>
    <row r="10" spans="1:14" x14ac:dyDescent="0.3">
      <c r="A10" s="4"/>
      <c r="C10" s="4"/>
      <c r="D10" s="13">
        <v>0.5</v>
      </c>
      <c r="E10" s="4"/>
      <c r="F10" s="4"/>
      <c r="G10" s="4"/>
      <c r="H10" s="4"/>
      <c r="I10" s="4"/>
      <c r="J10" s="4">
        <v>0</v>
      </c>
      <c r="K10" s="4"/>
      <c r="L10" s="4"/>
      <c r="M10" s="13">
        <v>0.5</v>
      </c>
      <c r="N10" s="1" t="s">
        <v>33</v>
      </c>
    </row>
    <row r="11" spans="1:14" x14ac:dyDescent="0.3">
      <c r="A11" s="13">
        <v>50</v>
      </c>
      <c r="B11" s="13">
        <v>50</v>
      </c>
      <c r="C11" s="13">
        <v>50</v>
      </c>
      <c r="D11" s="13">
        <v>50</v>
      </c>
      <c r="E11" s="13">
        <v>0.5</v>
      </c>
      <c r="F11" s="4"/>
      <c r="G11" s="4"/>
      <c r="H11" s="4"/>
      <c r="I11" s="4"/>
      <c r="J11" s="4"/>
      <c r="K11" s="4">
        <v>0</v>
      </c>
      <c r="L11" s="4"/>
      <c r="M11" s="4"/>
      <c r="N11" s="1" t="s">
        <v>34</v>
      </c>
    </row>
    <row r="12" spans="1:14" x14ac:dyDescent="0.3">
      <c r="A12" s="13">
        <v>50</v>
      </c>
      <c r="B12" s="13">
        <v>50</v>
      </c>
      <c r="C12" s="13">
        <v>50</v>
      </c>
      <c r="D12" s="13">
        <v>50</v>
      </c>
      <c r="E12" s="4"/>
      <c r="F12" s="13">
        <v>0.5</v>
      </c>
      <c r="G12" s="4"/>
      <c r="H12" s="4"/>
      <c r="I12" s="4"/>
      <c r="J12" s="4"/>
      <c r="K12" s="4"/>
      <c r="L12" s="4">
        <v>0</v>
      </c>
      <c r="M12" s="4"/>
      <c r="N12" s="1" t="s">
        <v>35</v>
      </c>
    </row>
    <row r="13" spans="1:14" x14ac:dyDescent="0.3">
      <c r="A13" s="4"/>
      <c r="B13" s="4"/>
      <c r="C13" s="4"/>
      <c r="D13" s="4"/>
      <c r="E13" s="4"/>
      <c r="F13" s="4"/>
      <c r="G13" s="13">
        <v>50</v>
      </c>
      <c r="H13" s="13">
        <v>50</v>
      </c>
      <c r="I13" s="13">
        <v>50</v>
      </c>
      <c r="J13" s="13">
        <v>50</v>
      </c>
      <c r="K13" s="4"/>
      <c r="L13" s="4"/>
      <c r="M13" s="4">
        <v>0</v>
      </c>
      <c r="N13" s="1" t="s">
        <v>36</v>
      </c>
    </row>
    <row r="14" spans="1:1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4" x14ac:dyDescent="0.3">
      <c r="A15" s="1" t="s">
        <v>12</v>
      </c>
      <c r="B15" s="1" t="s">
        <v>15</v>
      </c>
      <c r="C15" s="1" t="s">
        <v>18</v>
      </c>
      <c r="D15" s="1" t="s">
        <v>21</v>
      </c>
      <c r="E15" s="1" t="s">
        <v>24</v>
      </c>
      <c r="F15" s="1" t="s">
        <v>27</v>
      </c>
      <c r="G15" s="1" t="s">
        <v>30</v>
      </c>
      <c r="H15" s="1" t="s">
        <v>31</v>
      </c>
      <c r="I15" s="1" t="s">
        <v>32</v>
      </c>
      <c r="J15" s="1" t="s">
        <v>33</v>
      </c>
      <c r="K15" s="1" t="s">
        <v>34</v>
      </c>
      <c r="L15" s="1" t="s">
        <v>35</v>
      </c>
      <c r="M15" s="1" t="s">
        <v>36</v>
      </c>
      <c r="N15" t="s">
        <v>96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D2C0-A102-402C-B1A9-63B7B9D98B3D}">
  <dimension ref="A1:C3"/>
  <sheetViews>
    <sheetView workbookViewId="0">
      <selection activeCell="A2" sqref="A2:C3"/>
    </sheetView>
  </sheetViews>
  <sheetFormatPr defaultRowHeight="14.4" x14ac:dyDescent="0.3"/>
  <cols>
    <col min="1" max="1" width="17.5546875" style="1" customWidth="1"/>
    <col min="2" max="2" width="31.21875" style="1" customWidth="1"/>
    <col min="3" max="3" width="15.109375" style="1" customWidth="1"/>
  </cols>
  <sheetData>
    <row r="1" spans="1:3" s="18" customFormat="1" ht="43.8" customHeight="1" x14ac:dyDescent="0.3">
      <c r="A1" s="16" t="s">
        <v>101</v>
      </c>
      <c r="B1" s="17" t="s">
        <v>68</v>
      </c>
      <c r="C1" s="16" t="s">
        <v>102</v>
      </c>
    </row>
    <row r="2" spans="1:3" x14ac:dyDescent="0.3">
      <c r="A2" s="15"/>
      <c r="B2" s="15"/>
      <c r="C2" s="15"/>
    </row>
    <row r="3" spans="1:3" x14ac:dyDescent="0.3">
      <c r="A3" s="15"/>
      <c r="B3" s="15"/>
      <c r="C3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6364-EA99-431C-AD00-C5F01791B3DF}">
  <dimension ref="A1:C3"/>
  <sheetViews>
    <sheetView workbookViewId="0">
      <selection activeCell="D24" sqref="D24"/>
    </sheetView>
  </sheetViews>
  <sheetFormatPr defaultRowHeight="14.4" x14ac:dyDescent="0.3"/>
  <cols>
    <col min="1" max="1" width="17.5546875" style="1" customWidth="1"/>
    <col min="2" max="2" width="15.21875" style="1" customWidth="1"/>
    <col min="3" max="3" width="10.44140625" style="1" customWidth="1"/>
  </cols>
  <sheetData>
    <row r="1" spans="1:3" x14ac:dyDescent="0.3">
      <c r="A1" s="16" t="s">
        <v>101</v>
      </c>
      <c r="B1" s="14" t="s">
        <v>0</v>
      </c>
      <c r="C1" s="14" t="s">
        <v>103</v>
      </c>
    </row>
    <row r="2" spans="1:3" x14ac:dyDescent="0.3">
      <c r="A2" s="15"/>
      <c r="B2" s="19"/>
      <c r="C2" s="15"/>
    </row>
    <row r="3" spans="1:3" x14ac:dyDescent="0.3">
      <c r="A3" s="19"/>
      <c r="B3" s="15"/>
      <c r="C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nodes</vt:lpstr>
      <vt:lpstr>sim</vt:lpstr>
      <vt:lpstr>power</vt:lpstr>
      <vt:lpstr>FV</vt:lpstr>
      <vt:lpstr>Carea</vt:lpstr>
      <vt:lpstr>Darea</vt:lpstr>
      <vt:lpstr>Attitude mission</vt:lpstr>
      <vt:lpstr>Power 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Samuele Piredda</dc:creator>
  <cp:lastModifiedBy>Samuele Piredda</cp:lastModifiedBy>
  <cp:revision>9</cp:revision>
  <dcterms:created xsi:type="dcterms:W3CDTF">2026-03-20T19:27:49Z</dcterms:created>
  <dcterms:modified xsi:type="dcterms:W3CDTF">2026-03-24T09:21:54Z</dcterms:modified>
</cp:coreProperties>
</file>